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EF1E76D-E434-4BF0-826D-526C1B2CAE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fect Report" sheetId="3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</calcChain>
</file>

<file path=xl/sharedStrings.xml><?xml version="1.0" encoding="utf-8"?>
<sst xmlns="http://schemas.openxmlformats.org/spreadsheetml/2006/main" count="59" uniqueCount="58">
  <si>
    <t>Module</t>
  </si>
  <si>
    <t>Preconditions</t>
  </si>
  <si>
    <t>Test Data</t>
  </si>
  <si>
    <t>Expected Result</t>
  </si>
  <si>
    <t>Actual Result</t>
  </si>
  <si>
    <t>Status</t>
  </si>
  <si>
    <t>Priority</t>
  </si>
  <si>
    <t>Severity</t>
  </si>
  <si>
    <t>Login</t>
  </si>
  <si>
    <t>High</t>
  </si>
  <si>
    <t>Critical</t>
  </si>
  <si>
    <t>Major</t>
  </si>
  <si>
    <t>Minor</t>
  </si>
  <si>
    <t>Metric</t>
  </si>
  <si>
    <t>Count</t>
  </si>
  <si>
    <t>Tichi Web Application - Defect Report</t>
  </si>
  <si>
    <t>Defect ID</t>
  </si>
  <si>
    <t>Defect Title</t>
  </si>
  <si>
    <t>Feature</t>
  </si>
  <si>
    <t>Defect Description</t>
  </si>
  <si>
    <t>Steps to Reproduce</t>
  </si>
  <si>
    <t>Environment</t>
  </si>
  <si>
    <t>Browser</t>
  </si>
  <si>
    <t>Build Version</t>
  </si>
  <si>
    <t>Reported By</t>
  </si>
  <si>
    <t>Assigned To</t>
  </si>
  <si>
    <t>Date Reported</t>
  </si>
  <si>
    <t>Reproducibility</t>
  </si>
  <si>
    <t>Root Cause (Assumed)</t>
  </si>
  <si>
    <t>Impact</t>
  </si>
  <si>
    <t>Recommendation</t>
  </si>
  <si>
    <t>Attachments/Remarks</t>
  </si>
  <si>
    <t>BUG-001</t>
  </si>
  <si>
    <t>Application allows login with invalid email format</t>
  </si>
  <si>
    <t>Login Authentication - Email Validation</t>
  </si>
  <si>
    <t>The login functionality does not validate the email address format before authenticating the user. Malformed email addresses (missing '@' symbol) are accepted and the user is successfully logged in.</t>
  </si>
  <si>
    <t>1. User has a valid registered account
2. Application is accessible at the staging URL
3. Login page is displayed</t>
  </si>
  <si>
    <t>1. Open the application URL: https://tichi-app-webapp-stage.web.app
2. On the Login page, enter an email address without the '@' symbol
3. Enter a valid/registered password
4. Click the 'Login' button
5. Observe the application's response</t>
  </si>
  <si>
    <t>The application should reject the login attempt and display a validation message such as "Please enter a valid email address."</t>
  </si>
  <si>
    <t>The application accepts the invalid email format and logs the user into the application.</t>
  </si>
  <si>
    <t>New</t>
  </si>
  <si>
    <t>Staging</t>
  </si>
  <si>
    <t>Google Chrome (Latest)</t>
  </si>
  <si>
    <t>Stage Build - v1.0</t>
  </si>
  <si>
    <t>QA Intern</t>
  </si>
  <si>
    <t>2026-07-05</t>
  </si>
  <si>
    <t>Always (100%)</t>
  </si>
  <si>
    <t>Email format validation is missing or bypassed in frontend/backend validation.</t>
  </si>
  <si>
    <t>Users can authenticate using malformed email addresses, leading to data integrity and authentication issues. This is a security and data-quality risk as invalid emails may break downstream features (password reset, notifications, communication).</t>
  </si>
  <si>
    <t>Implement proper email format validation on both client-side and server-side using standard email regex validation before authentication.</t>
  </si>
  <si>
    <t>Screenshot to be attached; see Execution Report in Section 3 (TC_LOGIN_004 / TC_LOGIN_019)</t>
  </si>
  <si>
    <t>Defect Summary</t>
  </si>
  <si>
    <t>Total Defects</t>
  </si>
  <si>
    <t>Status: New</t>
  </si>
  <si>
    <t xml:space="preserve">Application URL: https://tichi-app-webapp-stage.web.app </t>
  </si>
  <si>
    <t>Screenshot</t>
  </si>
  <si>
    <t>Email: abcgmail.com
Password: Password@123</t>
  </si>
  <si>
    <t>Application displays a validation message for an invalid email address (abcgmail.com), indicating that the issue could not be reproduced during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</si>
</sst>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2"/>
      <name val="Times New Roman"/>
      <family val="1"/>
    </font>
    <font>
      <b/>
      <sz val="12"/>
      <color rgb="FF1F4E79"/>
      <name val="Times New Roman"/>
      <family val="1"/>
    </font>
    <font>
      <sz val="12"/>
      <color theme="1"/>
      <name val="Times New Roman"/>
      <family val="1"/>
    </font>
    <font>
      <i/>
      <sz val="12"/>
      <color rgb="FF595959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theme="9"/>
        <bgColor rgb="FF003366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5" borderId="0" xfId="0" applyFont="1" applyFill="1"/>
    <xf numFmtId="0" fontId="1" fillId="4" borderId="1" xfId="0" applyFont="1" applyFill="1" applyBorder="1" applyAlignment="1">
      <alignment horizontal="center" vertical="top" wrapText="1"/>
    </xf>
    <xf numFmtId="0" fontId="1" fillId="5" borderId="0" xfId="0" applyFont="1" applyFill="1"/>
    <xf numFmtId="0" fontId="7" fillId="0" borderId="0" xfId="0" applyFont="1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18</xdr:row>
      <xdr:rowOff>15240</xdr:rowOff>
    </xdr:from>
    <xdr:to>
      <xdr:col>4</xdr:col>
      <xdr:colOff>289560</xdr:colOff>
      <xdr:row>37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7DC09-BFC5-3936-7590-64B444854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5638800"/>
          <a:ext cx="4838700" cy="378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0"/>
  <sheetViews>
    <sheetView tabSelected="1" zoomScaleNormal="100" workbookViewId="0">
      <pane ySplit="4" topLeftCell="A26" activePane="bottomLeft" state="frozen"/>
      <selection pane="bottomLeft" activeCell="A40" sqref="A40"/>
    </sheetView>
  </sheetViews>
  <sheetFormatPr defaultColWidth="8.6640625" defaultRowHeight="15.6" x14ac:dyDescent="0.3"/>
  <cols>
    <col min="1" max="1" width="12" style="1" customWidth="1"/>
    <col min="2" max="2" width="30" style="1" customWidth="1"/>
    <col min="3" max="3" width="10" style="1" customWidth="1"/>
    <col min="4" max="4" width="26" style="1" customWidth="1"/>
    <col min="5" max="5" width="40" style="1" customWidth="1"/>
    <col min="6" max="6" width="26" style="1" customWidth="1"/>
    <col min="7" max="7" width="42" style="1" customWidth="1"/>
    <col min="8" max="8" width="24" style="1" customWidth="1"/>
    <col min="9" max="10" width="34" style="1" customWidth="1"/>
    <col min="11" max="11" width="11" style="1" customWidth="1"/>
    <col min="12" max="13" width="10" style="1" customWidth="1"/>
    <col min="14" max="14" width="12" style="1" customWidth="1"/>
    <col min="15" max="15" width="18" style="1" customWidth="1"/>
    <col min="16" max="16" width="16" style="1" customWidth="1"/>
    <col min="17" max="18" width="13" style="1" customWidth="1"/>
    <col min="19" max="20" width="14" style="1" customWidth="1"/>
    <col min="21" max="23" width="34" style="1" customWidth="1"/>
    <col min="24" max="24" width="30" style="1" customWidth="1"/>
    <col min="25" max="16384" width="8.6640625" style="1"/>
  </cols>
  <sheetData>
    <row r="1" spans="1:24" ht="25.5" customHeight="1" x14ac:dyDescent="0.3">
      <c r="A1" s="14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5.75" customHeight="1" x14ac:dyDescent="0.3">
      <c r="A2" s="16" t="s">
        <v>54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4" spans="1:24" s="10" customFormat="1" ht="24" customHeight="1" x14ac:dyDescent="0.3">
      <c r="A4" s="11" t="s">
        <v>16</v>
      </c>
      <c r="B4" s="11" t="s">
        <v>17</v>
      </c>
      <c r="C4" s="11" t="s">
        <v>0</v>
      </c>
      <c r="D4" s="11" t="s">
        <v>18</v>
      </c>
      <c r="E4" s="11" t="s">
        <v>19</v>
      </c>
      <c r="F4" s="11" t="s">
        <v>1</v>
      </c>
      <c r="G4" s="11" t="s">
        <v>20</v>
      </c>
      <c r="H4" s="11" t="s">
        <v>2</v>
      </c>
      <c r="I4" s="11" t="s">
        <v>3</v>
      </c>
      <c r="J4" s="11" t="s">
        <v>4</v>
      </c>
      <c r="K4" s="11" t="s">
        <v>7</v>
      </c>
      <c r="L4" s="11" t="s">
        <v>6</v>
      </c>
      <c r="M4" s="11" t="s">
        <v>5</v>
      </c>
      <c r="N4" s="11" t="s">
        <v>21</v>
      </c>
      <c r="O4" s="11" t="s">
        <v>22</v>
      </c>
      <c r="P4" s="11" t="s">
        <v>23</v>
      </c>
      <c r="Q4" s="11" t="s">
        <v>24</v>
      </c>
      <c r="R4" s="11" t="s">
        <v>25</v>
      </c>
      <c r="S4" s="11" t="s">
        <v>26</v>
      </c>
      <c r="T4" s="11" t="s">
        <v>27</v>
      </c>
      <c r="U4" s="11" t="s">
        <v>28</v>
      </c>
      <c r="V4" s="11" t="s">
        <v>29</v>
      </c>
      <c r="W4" s="11" t="s">
        <v>30</v>
      </c>
      <c r="X4" s="11" t="s">
        <v>31</v>
      </c>
    </row>
    <row r="5" spans="1:24" ht="159.75" customHeight="1" x14ac:dyDescent="0.3">
      <c r="A5" s="3" t="s">
        <v>32</v>
      </c>
      <c r="B5" s="4" t="s">
        <v>33</v>
      </c>
      <c r="C5" s="3" t="s">
        <v>8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56</v>
      </c>
      <c r="I5" s="4" t="s">
        <v>38</v>
      </c>
      <c r="J5" s="4" t="s">
        <v>39</v>
      </c>
      <c r="K5" s="5" t="s">
        <v>10</v>
      </c>
      <c r="L5" s="6" t="s">
        <v>9</v>
      </c>
      <c r="M5" s="7" t="s">
        <v>40</v>
      </c>
      <c r="N5" s="3" t="s">
        <v>41</v>
      </c>
      <c r="O5" s="3" t="s">
        <v>42</v>
      </c>
      <c r="P5" s="4" t="s">
        <v>43</v>
      </c>
      <c r="Q5" s="3" t="s">
        <v>44</v>
      </c>
      <c r="R5" s="3"/>
      <c r="S5" s="3" t="s">
        <v>45</v>
      </c>
      <c r="T5" s="3" t="s">
        <v>46</v>
      </c>
      <c r="U5" s="4" t="s">
        <v>47</v>
      </c>
      <c r="V5" s="4" t="s">
        <v>48</v>
      </c>
      <c r="W5" s="4" t="s">
        <v>49</v>
      </c>
      <c r="X5" s="4" t="s">
        <v>50</v>
      </c>
    </row>
    <row r="8" spans="1:24" x14ac:dyDescent="0.3">
      <c r="A8" s="14" t="s">
        <v>51</v>
      </c>
      <c r="B8" s="15"/>
    </row>
    <row r="9" spans="1:24" s="10" customFormat="1" x14ac:dyDescent="0.3">
      <c r="A9" s="11" t="s">
        <v>13</v>
      </c>
      <c r="B9" s="11" t="s">
        <v>14</v>
      </c>
    </row>
    <row r="10" spans="1:24" x14ac:dyDescent="0.3">
      <c r="A10" s="8" t="s">
        <v>52</v>
      </c>
      <c r="B10" s="9">
        <f>COUNTA($A$5:$A$5)</f>
        <v>1</v>
      </c>
    </row>
    <row r="11" spans="1:24" x14ac:dyDescent="0.3">
      <c r="A11" s="8" t="s">
        <v>10</v>
      </c>
      <c r="B11" s="9">
        <f>COUNTIF($K$5:$K$5,"Critical")</f>
        <v>1</v>
      </c>
    </row>
    <row r="12" spans="1:24" x14ac:dyDescent="0.3">
      <c r="A12" s="8" t="s">
        <v>11</v>
      </c>
      <c r="B12" s="9">
        <f>COUNTIF($K$5:$K$5,"Major")</f>
        <v>0</v>
      </c>
    </row>
    <row r="13" spans="1:24" x14ac:dyDescent="0.3">
      <c r="A13" s="8" t="s">
        <v>12</v>
      </c>
      <c r="B13" s="9">
        <f>COUNTIF($K$5:$K$5,"Minor")</f>
        <v>0</v>
      </c>
    </row>
    <row r="14" spans="1:24" x14ac:dyDescent="0.3">
      <c r="A14" s="8" t="s">
        <v>53</v>
      </c>
      <c r="B14" s="9">
        <f>COUNTIF($M$5:$M$5,"New")</f>
        <v>1</v>
      </c>
    </row>
    <row r="16" spans="1:24" x14ac:dyDescent="0.3">
      <c r="A16" s="2"/>
    </row>
    <row r="17" spans="1:1" x14ac:dyDescent="0.3">
      <c r="A17" s="12" t="s">
        <v>55</v>
      </c>
    </row>
    <row r="40" spans="1:1" s="13" customFormat="1" x14ac:dyDescent="0.3">
      <c r="A40" s="13" t="s">
        <v>57</v>
      </c>
    </row>
  </sheetData>
  <mergeCells count="3">
    <mergeCell ref="A1:X1"/>
    <mergeCell ref="A2:X2"/>
    <mergeCell ref="A8:B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2026-07-05T06:14:03Z</dcterms:created>
  <dcterms:modified xsi:type="dcterms:W3CDTF">2026-07-06T04:49:20Z</dcterms:modified>
  <dc:language>en-US</dc:language>
</cp:coreProperties>
</file>